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ung\Downloads\"/>
    </mc:Choice>
  </mc:AlternateContent>
  <xr:revisionPtr revIDLastSave="0" documentId="13_ncr:1_{A29E2B33-A246-4B35-9D95-1E12C642B83B}" xr6:coauthVersionLast="47" xr6:coauthVersionMax="47" xr10:uidLastSave="{00000000-0000-0000-0000-000000000000}"/>
  <bookViews>
    <workbookView xWindow="-98" yWindow="-98" windowWidth="28996" windowHeight="16395" tabRatio="500" activeTab="2" xr2:uid="{00000000-000D-0000-FFFF-FFFF00000000}"/>
  </bookViews>
  <sheets>
    <sheet name="1. Assumptions" sheetId="1" r:id="rId1"/>
    <sheet name="2. Unit Economics" sheetId="2" r:id="rId2"/>
    <sheet name="3. P&amp;L &amp; RO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0" i="3" l="1"/>
  <c r="D39" i="3"/>
  <c r="D37" i="3"/>
  <c r="C6" i="3"/>
  <c r="C10" i="3" s="1"/>
  <c r="E18" i="2"/>
  <c r="D18" i="2"/>
  <c r="C18" i="2"/>
  <c r="E9" i="2"/>
  <c r="E8" i="2"/>
  <c r="D8" i="2"/>
  <c r="C8" i="2"/>
  <c r="E36" i="1"/>
  <c r="D36" i="1"/>
  <c r="C36" i="1"/>
  <c r="E28" i="1"/>
  <c r="D28" i="1"/>
  <c r="C28" i="1"/>
  <c r="E19" i="1"/>
  <c r="E14" i="2" s="1"/>
  <c r="D19" i="1"/>
  <c r="D14" i="2" s="1"/>
  <c r="C19" i="1"/>
  <c r="C14" i="2" s="1"/>
  <c r="E15" i="1"/>
  <c r="D15" i="1"/>
  <c r="D9" i="2" s="1"/>
  <c r="C15" i="1"/>
  <c r="C9" i="2" s="1"/>
  <c r="E10" i="2" l="1"/>
  <c r="D10" i="2"/>
  <c r="C10" i="2"/>
  <c r="E15" i="2"/>
  <c r="E21" i="2" s="1"/>
  <c r="E11" i="2"/>
  <c r="D15" i="2"/>
  <c r="D21" i="2" s="1"/>
  <c r="D11" i="2"/>
  <c r="C22" i="2"/>
  <c r="D22" i="2"/>
  <c r="E22" i="2"/>
  <c r="C15" i="2"/>
  <c r="C21" i="2" s="1"/>
  <c r="C25" i="2" s="1"/>
  <c r="C11" i="2"/>
  <c r="C11" i="3"/>
  <c r="D38" i="3"/>
  <c r="C17" i="3"/>
  <c r="C12" i="3"/>
  <c r="C13" i="3"/>
  <c r="C16" i="3"/>
  <c r="C8" i="3"/>
  <c r="C14" i="3"/>
  <c r="C15" i="3"/>
  <c r="C9" i="3"/>
  <c r="Q22" i="3" s="1"/>
  <c r="Q28" i="3" l="1"/>
  <c r="R22" i="3"/>
  <c r="R28" i="3" s="1"/>
  <c r="D22" i="3"/>
  <c r="D28" i="3" s="1"/>
  <c r="J22" i="3"/>
  <c r="J28" i="3" s="1"/>
  <c r="E22" i="3"/>
  <c r="E28" i="3" s="1"/>
  <c r="Z22" i="3"/>
  <c r="Z28" i="3" s="1"/>
  <c r="T22" i="3"/>
  <c r="T28" i="3" s="1"/>
  <c r="F22" i="3"/>
  <c r="F28" i="3" s="1"/>
  <c r="M22" i="3"/>
  <c r="M28" i="3" s="1"/>
  <c r="N22" i="3"/>
  <c r="N28" i="3" s="1"/>
  <c r="U22" i="3"/>
  <c r="U28" i="3" s="1"/>
  <c r="P22" i="3"/>
  <c r="P28" i="3" s="1"/>
  <c r="V22" i="3"/>
  <c r="V28" i="3" s="1"/>
  <c r="O22" i="3"/>
  <c r="O28" i="3" s="1"/>
  <c r="C22" i="3"/>
  <c r="K22" i="3"/>
  <c r="K28" i="3" s="1"/>
  <c r="G22" i="3"/>
  <c r="G28" i="3" s="1"/>
  <c r="W22" i="3"/>
  <c r="W28" i="3" s="1"/>
  <c r="H22" i="3"/>
  <c r="H28" i="3" s="1"/>
  <c r="S22" i="3"/>
  <c r="S28" i="3" s="1"/>
  <c r="V29" i="3"/>
  <c r="F29" i="3"/>
  <c r="Q29" i="3"/>
  <c r="O29" i="3"/>
  <c r="K29" i="3"/>
  <c r="U29" i="3"/>
  <c r="E29" i="3"/>
  <c r="J29" i="3"/>
  <c r="T29" i="3"/>
  <c r="D29" i="3"/>
  <c r="L29" i="3"/>
  <c r="I29" i="3"/>
  <c r="H29" i="3"/>
  <c r="S29" i="3"/>
  <c r="C29" i="3"/>
  <c r="R29" i="3"/>
  <c r="N29" i="3"/>
  <c r="P29" i="3"/>
  <c r="M29" i="3"/>
  <c r="Y29" i="3"/>
  <c r="Z29" i="3"/>
  <c r="X29" i="3"/>
  <c r="W29" i="3"/>
  <c r="G29" i="3"/>
  <c r="X22" i="3"/>
  <c r="X28" i="3" s="1"/>
  <c r="D25" i="2"/>
  <c r="Y22" i="3"/>
  <c r="Y28" i="3" s="1"/>
  <c r="I22" i="3"/>
  <c r="I28" i="3" s="1"/>
  <c r="L22" i="3"/>
  <c r="L28" i="3" s="1"/>
  <c r="E25" i="2"/>
  <c r="AA29" i="3" l="1"/>
  <c r="AA22" i="3"/>
  <c r="C28" i="3"/>
  <c r="AA28" i="3" s="1"/>
  <c r="C23" i="3"/>
  <c r="C25" i="3" l="1"/>
  <c r="D23" i="3"/>
  <c r="C26" i="3"/>
  <c r="E23" i="3" l="1"/>
  <c r="D25" i="3"/>
  <c r="D26" i="3"/>
  <c r="C27" i="3"/>
  <c r="C30" i="3" l="1"/>
  <c r="D27" i="3"/>
  <c r="D30" i="3" s="1"/>
  <c r="D32" i="3" s="1"/>
  <c r="E25" i="3"/>
  <c r="F23" i="3"/>
  <c r="E26" i="3"/>
  <c r="F26" i="3" l="1"/>
  <c r="G23" i="3"/>
  <c r="F25" i="3"/>
  <c r="F27" i="3" s="1"/>
  <c r="F30" i="3" s="1"/>
  <c r="F32" i="3" s="1"/>
  <c r="E27" i="3"/>
  <c r="E30" i="3" s="1"/>
  <c r="E32" i="3" s="1"/>
  <c r="C32" i="3"/>
  <c r="C41" i="3" l="1"/>
  <c r="C33" i="3"/>
  <c r="G26" i="3"/>
  <c r="G25" i="3"/>
  <c r="H23" i="3"/>
  <c r="H25" i="3" l="1"/>
  <c r="H26" i="3"/>
  <c r="I23" i="3"/>
  <c r="G27" i="3"/>
  <c r="D33" i="3"/>
  <c r="E33" i="3" s="1"/>
  <c r="F33" i="3" s="1"/>
  <c r="D41" i="3"/>
  <c r="E41" i="3" s="1"/>
  <c r="F41" i="3" s="1"/>
  <c r="G30" i="3" l="1"/>
  <c r="I25" i="3"/>
  <c r="I26" i="3"/>
  <c r="J23" i="3"/>
  <c r="H27" i="3"/>
  <c r="H30" i="3" s="1"/>
  <c r="H32" i="3" s="1"/>
  <c r="I27" i="3" l="1"/>
  <c r="I30" i="3" s="1"/>
  <c r="I32" i="3" s="1"/>
  <c r="J25" i="3"/>
  <c r="K23" i="3"/>
  <c r="J26" i="3"/>
  <c r="G32" i="3"/>
  <c r="G41" i="3" l="1"/>
  <c r="G33" i="3"/>
  <c r="J27" i="3"/>
  <c r="K26" i="3"/>
  <c r="L23" i="3"/>
  <c r="K25" i="3"/>
  <c r="K27" i="3" s="1"/>
  <c r="K30" i="3" s="1"/>
  <c r="K32" i="3" s="1"/>
  <c r="L26" i="3" l="1"/>
  <c r="M23" i="3"/>
  <c r="L25" i="3"/>
  <c r="J30" i="3"/>
  <c r="H33" i="3"/>
  <c r="I33" i="3" s="1"/>
  <c r="H41" i="3"/>
  <c r="I41" i="3" s="1"/>
  <c r="L27" i="3" l="1"/>
  <c r="L30" i="3" s="1"/>
  <c r="L32" i="3" s="1"/>
  <c r="J32" i="3"/>
  <c r="M25" i="3"/>
  <c r="M26" i="3"/>
  <c r="N23" i="3"/>
  <c r="N26" i="3" l="1"/>
  <c r="O23" i="3"/>
  <c r="N25" i="3"/>
  <c r="M27" i="3"/>
  <c r="M30" i="3" s="1"/>
  <c r="J33" i="3"/>
  <c r="J41" i="3"/>
  <c r="N27" i="3" l="1"/>
  <c r="N30" i="3" s="1"/>
  <c r="N32" i="3" s="1"/>
  <c r="K41" i="3"/>
  <c r="L41" i="3" s="1"/>
  <c r="K33" i="3"/>
  <c r="L33" i="3" s="1"/>
  <c r="M32" i="3"/>
  <c r="O25" i="3"/>
  <c r="O26" i="3"/>
  <c r="P23" i="3"/>
  <c r="M33" i="3" l="1"/>
  <c r="P26" i="3"/>
  <c r="Q23" i="3"/>
  <c r="P25" i="3"/>
  <c r="O27" i="3"/>
  <c r="O30" i="3" s="1"/>
  <c r="M41" i="3"/>
  <c r="P27" i="3" l="1"/>
  <c r="P30" i="3" s="1"/>
  <c r="P32" i="3" s="1"/>
  <c r="N41" i="3"/>
  <c r="O32" i="3"/>
  <c r="Q26" i="3"/>
  <c r="R23" i="3"/>
  <c r="Q25" i="3"/>
  <c r="N33" i="3"/>
  <c r="Q27" i="3" l="1"/>
  <c r="Q30" i="3" s="1"/>
  <c r="Q32" i="3" s="1"/>
  <c r="O33" i="3"/>
  <c r="P33" i="3" s="1"/>
  <c r="R25" i="3"/>
  <c r="R26" i="3"/>
  <c r="S23" i="3"/>
  <c r="O41" i="3"/>
  <c r="Q33" i="3" l="1"/>
  <c r="P41" i="3"/>
  <c r="Q41" i="3" s="1"/>
  <c r="S25" i="3"/>
  <c r="S26" i="3"/>
  <c r="T23" i="3"/>
  <c r="R27" i="3"/>
  <c r="R30" i="3" s="1"/>
  <c r="R32" i="3" s="1"/>
  <c r="R33" i="3" l="1"/>
  <c r="S27" i="3"/>
  <c r="S30" i="3" s="1"/>
  <c r="S32" i="3" s="1"/>
  <c r="T26" i="3"/>
  <c r="T25" i="3"/>
  <c r="U23" i="3"/>
  <c r="R41" i="3"/>
  <c r="S33" i="3" l="1"/>
  <c r="T27" i="3"/>
  <c r="T30" i="3" s="1"/>
  <c r="T32" i="3" s="1"/>
  <c r="S41" i="3"/>
  <c r="U25" i="3"/>
  <c r="U26" i="3"/>
  <c r="V23" i="3"/>
  <c r="T33" i="3" l="1"/>
  <c r="T41" i="3"/>
  <c r="V25" i="3"/>
  <c r="W23" i="3"/>
  <c r="V26" i="3"/>
  <c r="U27" i="3"/>
  <c r="U30" i="3" s="1"/>
  <c r="U32" i="3" s="1"/>
  <c r="U33" i="3" l="1"/>
  <c r="U41" i="3"/>
  <c r="X23" i="3"/>
  <c r="W25" i="3"/>
  <c r="W26" i="3"/>
  <c r="V27" i="3"/>
  <c r="V30" i="3" s="1"/>
  <c r="V32" i="3" s="1"/>
  <c r="W27" i="3" l="1"/>
  <c r="W30" i="3" s="1"/>
  <c r="W32" i="3" s="1"/>
  <c r="Y23" i="3"/>
  <c r="X26" i="3"/>
  <c r="X25" i="3"/>
  <c r="V41" i="3"/>
  <c r="V33" i="3"/>
  <c r="W33" i="3" l="1"/>
  <c r="W41" i="3"/>
  <c r="X27" i="3"/>
  <c r="X30" i="3" s="1"/>
  <c r="X32" i="3" s="1"/>
  <c r="Y25" i="3"/>
  <c r="Y26" i="3"/>
  <c r="Z23" i="3"/>
  <c r="X41" i="3" l="1"/>
  <c r="Z25" i="3"/>
  <c r="Z26" i="3"/>
  <c r="AA26" i="3" s="1"/>
  <c r="Y27" i="3"/>
  <c r="Y30" i="3" s="1"/>
  <c r="Y32" i="3" s="1"/>
  <c r="X33" i="3"/>
  <c r="Y41" i="3" l="1"/>
  <c r="Y33" i="3"/>
  <c r="Z27" i="3"/>
  <c r="AA25" i="3"/>
  <c r="Z30" i="3" l="1"/>
  <c r="AA27" i="3"/>
  <c r="Z32" i="3" l="1"/>
  <c r="C38" i="3" s="1"/>
  <c r="AA30" i="3"/>
  <c r="C37" i="3" l="1"/>
  <c r="AA32" i="3"/>
  <c r="Z41" i="3"/>
  <c r="C39" i="3" s="1"/>
  <c r="Z33" i="3"/>
  <c r="C40" i="3" s="1"/>
  <c r="C44" i="3" l="1"/>
</calcChain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<sst xmlns="http://schemas.openxmlformats.org/spreadsheetml/2006/main" count="153" uniqueCount="137">
  <si>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</si>
  <si>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</si>
  <si>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</si>
  <si>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</si>
  <si>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</si>
  <si>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</si>
  <si>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</si>
  <si>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</si>
  <si>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</si>
  <si>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</si>
  <si>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Adoption rate — % TAM chuyển thành khách/tháng</t>
  </si>
  <si>
    <t>%/tháng</t>
  </si>
  <si>
    <t>Total addressable market (số khách tiềm năng)</t>
  </si>
  <si>
    <t>khách</t>
  </si>
  <si>
    <t>2. COGS  /  Chi phí biến đổi trên mỗi khách hàng</t>
  </si>
  <si>
    <t>API cost / khách / tháng</t>
  </si>
  <si>
    <t>Hidden costs (labeling, retraining, QA)</t>
  </si>
  <si>
    <t>Infrastructure (server/cloud) / khách</t>
  </si>
  <si>
    <t>→ Tổng COGS / khách / tháng</t>
  </si>
  <si>
    <t>3. Customer Behavior  /  Hành vi khách hàng</t>
  </si>
  <si>
    <t>Monthly Churn Rate — % khách rời mỗi tháng</t>
  </si>
  <si>
    <t>%</t>
  </si>
  <si>
    <t>→ Số tháng ở lại trung bình</t>
  </si>
  <si>
    <t>4. Sales &amp; Marketing  /  Chi phí thu hút khách</t>
  </si>
  <si>
    <t>CAC — Tổng chi phí có 1 khách hàng mới</t>
  </si>
  <si>
    <t>5. Fixed Costs  /  Chi phí cố định hàng tháng</t>
  </si>
  <si>
    <t>Salaries — Lương team (PM/Dev/Designer)</t>
  </si>
  <si>
    <t>VND/tháng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</si>
  <si>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</si>
  <si>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</si>
  <si>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</si>
  <si>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</si>
  <si>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</si>
  <si>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Tiền mặt ban đầu (sau khi đã trừ vốn đầu tư)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</si>
  <si>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</si>
  <si>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</si>
  <si>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</si>
  <si>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</si>
  <si>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</si>
  <si>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</si>
  <si>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</si>
  <si>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</si>
  <si>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</si>
  <si>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</si>
  <si>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</si>
  <si>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</si>
  <si>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</si>
  <si>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</si>
  <si>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</si>
  <si>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</si>
  <si>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</si>
  <si>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</si>
  <si>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</si>
  <si>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</si>
  <si>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</si>
  <si>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</si>
  <si>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</si>
  <si>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</si>
  <si>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</si>
  <si>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</si>
  <si>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</si>
  <si>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</si>
  <si>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</si>
  <si>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</si>
  <si>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</si>
  <si>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</si>
  <si>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</si>
  <si>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</si>
  <si>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</si>
  <si>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</si>
  <si>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</si>
  <si>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</si>
  <si>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</si>
  <si>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</si>
  <si>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</si>
  <si>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</si>
  <si>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</si>
  <si>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</si>
  <si>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</si>
  <si>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</si>
  <si>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</si>
  <si>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</si>
  <si>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</si>
  <si>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</si>
  <si>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</si>
  <si>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</si>
  <si>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</si>
  <si>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</si>
  <si>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</si>
  <si>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</si>
  <si>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</si>
  <si>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</si>
  <si>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</si>
  <si>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</si>
  <si>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</si>
  <si>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</si>
  <si>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</si>
  <si>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</si>
  <si>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</si>
  <si>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</si>
  <si>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</si>
  <si>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</si>
  <si>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</si>
  <si>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</si>
  <si>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</si>
  <si>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</si>
  <si>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</si>
  <si>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</si>
  <si>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</si>
  <si>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</si>
  <si>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</si>
  <si>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</si>
  <si>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</si>
  <si>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</si>
  <si>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</si>
  <si>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</si>
  <si>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</si>
  <si>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</si>
  <si>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</si>
  <si>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</si>
  <si>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</si>
  <si>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</si>
  <si>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</si>
  <si>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</si>
  <si>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</si>
  <si>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</si>
  <si>
    <t>Chi phí hội thảo, demo tận nơi chia cho số lượng sv 1 khoa (VD: 300 sv)</t>
  </si>
  <si>
    <t>Hợp đồng B2B trường học thường ký theo năm nên Churn rate tháng sẽ rất thấp</t>
  </si>
  <si>
    <t>Chi phí allocate cho 1-2h/tuần TA manual review</t>
  </si>
  <si>
    <t>Dựa trên $0-150/tháng cho Vector DB &amp; Hosting</t>
  </si>
  <si>
    <t>Phí license nhà trường trả cho 1 user/tháng để bù đắp chi phí API</t>
  </si>
  <si>
    <t>Dựa trên chu kỳ chốt sale B2B mảng giáo dục</t>
  </si>
  <si>
    <t>Tổng sv CS/IT toàn quốc có nhu cầu hỗ trợ ngoài giờ</t>
  </si>
  <si>
    <t>Team setup hạ tầng Hybrid compliance phức tạp</t>
  </si>
  <si>
    <t>Chi phí setup hạ tầng 1 tuần + 4 tuần pilot</t>
  </si>
  <si>
    <t>Số tiền có sẵn để chi trả fixed cost giai đoạn đầu</t>
  </si>
  <si>
    <t>Chi phí API GPT-4o-mini dao động $360-$1,800/tháng cho 200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</si>
</sst>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000000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9" fillId="0" borderId="0" xfId="0" applyFont="1" applyAlignment="1">
      <alignment horizontal="left" vertical="center"/>
    </xf>
    <xf numFmtId="0" fontId="7" fillId="7" borderId="3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164" fontId="6" fillId="7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165" fontId="6" fillId="7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4" fillId="5" borderId="0" xfId="0" applyFont="1" applyFill="1" applyAlignment="1">
      <alignment horizontal="left" vertical="center"/>
    </xf>
    <xf numFmtId="166" fontId="4" fillId="5" borderId="0" xfId="0" applyNumberFormat="1" applyFont="1" applyFill="1" applyAlignment="1">
      <alignment horizontal="right" vertical="center"/>
    </xf>
    <xf numFmtId="0" fontId="0" fillId="5" borderId="0" xfId="0" applyFill="1"/>
    <xf numFmtId="164" fontId="4" fillId="5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4" fillId="5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0" fontId="2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indent="1"/>
    </xf>
    <xf numFmtId="164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0" fontId="14" fillId="5" borderId="0" xfId="0" applyFont="1" applyFill="1"/>
    <xf numFmtId="0" fontId="15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64" fontId="16" fillId="0" borderId="0" xfId="0" applyNumberFormat="1" applyFont="1" applyAlignment="1">
      <alignment horizontal="right"/>
    </xf>
    <xf numFmtId="164" fontId="14" fillId="0" borderId="0" xfId="0" applyNumberFormat="1" applyFont="1"/>
    <xf numFmtId="0" fontId="4" fillId="4" borderId="0" xfId="0" applyFont="1" applyFill="1" applyAlignment="1">
      <alignment horizontal="left" vertical="center"/>
    </xf>
    <xf numFmtId="164" fontId="15" fillId="4" borderId="0" xfId="0" applyNumberFormat="1" applyFont="1" applyFill="1" applyAlignment="1">
      <alignment horizontal="right"/>
    </xf>
    <xf numFmtId="164" fontId="14" fillId="4" borderId="0" xfId="0" applyNumberFormat="1" applyFont="1" applyFill="1"/>
    <xf numFmtId="164" fontId="15" fillId="0" borderId="0" xfId="0" applyNumberFormat="1" applyFont="1" applyAlignment="1">
      <alignment horizontal="right"/>
    </xf>
    <xf numFmtId="164" fontId="15" fillId="5" borderId="0" xfId="0" applyNumberFormat="1" applyFont="1" applyFill="1" applyAlignment="1">
      <alignment horizontal="right"/>
    </xf>
    <xf numFmtId="164" fontId="14" fillId="5" borderId="0" xfId="0" applyNumberFormat="1" applyFont="1" applyFill="1"/>
    <xf numFmtId="0" fontId="4" fillId="8" borderId="0" xfId="0" applyFont="1" applyFill="1" applyAlignment="1">
      <alignment horizontal="left" vertical="center"/>
    </xf>
    <xf numFmtId="164" fontId="15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/>
    <xf numFmtId="164" fontId="18" fillId="0" borderId="0" xfId="0" applyNumberFormat="1" applyFont="1" applyAlignment="1">
      <alignment horizontal="right"/>
    </xf>
  </cellXfs>
  <cellStyles count="1">
    <cellStyle name="Bình thường" xfId="0" builtinId="0"/>
  </cellStyles>
  <dxfs count="12"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zoomScaleNormal="100" workbookViewId="0">
      <pane ySplit="5" topLeftCell="A6" activePane="bottomLeft" state="frozen"/>
      <selection pane="bottomLeft" activeCell="E9" sqref="E9"/>
    </sheetView>
  </sheetViews>
  <sheetFormatPr defaultColWidth="8.6640625" defaultRowHeight="14.25" x14ac:dyDescent="0.4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45">
      <c r="B2" s="5" t="s">
        <v>0</v>
      </c>
      <c r="C2" s="5"/>
      <c r="D2" s="5"/>
      <c r="E2" s="5"/>
      <c r="F2" s="5"/>
    </row>
    <row r="3" spans="2:7" ht="19.5" customHeight="1" x14ac:dyDescent="0.45">
      <c r="B3" s="4" t="s">
        <v>1</v>
      </c>
      <c r="C3" s="4"/>
      <c r="D3" s="4"/>
      <c r="E3" s="4"/>
      <c r="F3" s="4"/>
      <c r="G3" s="4"/>
    </row>
    <row r="5" spans="2:7" x14ac:dyDescent="0.45">
      <c r="B5" s="3" t="s">
        <v>2</v>
      </c>
      <c r="C5" s="3"/>
      <c r="D5" s="3"/>
      <c r="E5" s="3"/>
      <c r="F5" s="3"/>
    </row>
    <row r="6" spans="2:7" x14ac:dyDescent="0.45">
      <c r="C6" s="7" t="s">
        <v>3</v>
      </c>
      <c r="D6" s="8" t="s">
        <v>4</v>
      </c>
      <c r="E6" s="9" t="s">
        <v>5</v>
      </c>
      <c r="F6" s="10" t="s">
        <v>6</v>
      </c>
      <c r="G6" s="11" t="s">
        <v>7</v>
      </c>
    </row>
    <row r="7" spans="2:7" x14ac:dyDescent="0.45">
      <c r="B7" s="12" t="s">
        <v>8</v>
      </c>
      <c r="C7" s="13">
        <v>300000</v>
      </c>
      <c r="D7" s="13">
        <v>200000</v>
      </c>
      <c r="E7" s="13">
        <v>100000</v>
      </c>
      <c r="F7" s="14" t="s">
        <v>9</v>
      </c>
      <c r="G7" s="6" t="s">
        <v>130</v>
      </c>
    </row>
    <row r="8" spans="2:7" x14ac:dyDescent="0.45">
      <c r="B8" s="12" t="s">
        <v>10</v>
      </c>
      <c r="C8" s="15">
        <v>7.0000000000000001E-3</v>
      </c>
      <c r="D8" s="15">
        <v>5.0000000000000001E-3</v>
      </c>
      <c r="E8" s="15">
        <v>2E-3</v>
      </c>
      <c r="F8" s="14" t="s">
        <v>11</v>
      </c>
      <c r="G8" s="6" t="s">
        <v>131</v>
      </c>
    </row>
    <row r="9" spans="2:7" x14ac:dyDescent="0.45">
      <c r="B9" s="12" t="s">
        <v>12</v>
      </c>
      <c r="C9" s="13">
        <v>60000</v>
      </c>
      <c r="D9" s="13">
        <v>50000</v>
      </c>
      <c r="E9" s="13">
        <v>40000</v>
      </c>
      <c r="F9" s="14" t="s">
        <v>13</v>
      </c>
      <c r="G9" s="6" t="s">
        <v>132</v>
      </c>
    </row>
    <row r="11" spans="2:7" x14ac:dyDescent="0.45">
      <c r="B11" s="3" t="s">
        <v>14</v>
      </c>
      <c r="C11" s="3"/>
      <c r="D11" s="3"/>
      <c r="E11" s="3"/>
      <c r="F11" s="3"/>
    </row>
    <row r="12" spans="2:7" x14ac:dyDescent="0.45">
      <c r="B12" s="12" t="s">
        <v>15</v>
      </c>
      <c r="C12" s="13">
        <v>20000</v>
      </c>
      <c r="D12" s="13">
        <v>50000</v>
      </c>
      <c r="E12" s="13">
        <v>100000</v>
      </c>
      <c r="F12" s="14" t="s">
        <v>9</v>
      </c>
      <c r="G12" s="6" t="s">
        <v>136</v>
      </c>
    </row>
    <row r="13" spans="2:7" x14ac:dyDescent="0.45">
      <c r="B13" s="12" t="s">
        <v>16</v>
      </c>
      <c r="C13" s="13">
        <v>10000</v>
      </c>
      <c r="D13" s="13">
        <v>20000</v>
      </c>
      <c r="E13" s="13">
        <v>40000</v>
      </c>
      <c r="F13" s="14" t="s">
        <v>9</v>
      </c>
      <c r="G13" s="6" t="s">
        <v>128</v>
      </c>
    </row>
    <row r="14" spans="2:7" x14ac:dyDescent="0.45">
      <c r="B14" s="12" t="s">
        <v>17</v>
      </c>
      <c r="C14" s="13">
        <v>2000</v>
      </c>
      <c r="D14" s="13">
        <v>5000</v>
      </c>
      <c r="E14" s="13">
        <v>10000</v>
      </c>
      <c r="F14" s="14" t="s">
        <v>9</v>
      </c>
      <c r="G14" s="6" t="s">
        <v>129</v>
      </c>
    </row>
    <row r="15" spans="2:7" x14ac:dyDescent="0.45">
      <c r="B15" s="16" t="s">
        <v>18</v>
      </c>
      <c r="C15" s="17">
        <f>C12+C13+C14</f>
        <v>32000</v>
      </c>
      <c r="D15" s="17">
        <f>D12+D13+D14</f>
        <v>75000</v>
      </c>
      <c r="E15" s="17">
        <f>E12+E13+E14</f>
        <v>150000</v>
      </c>
      <c r="F15" s="18"/>
    </row>
    <row r="17" spans="2:7" x14ac:dyDescent="0.45">
      <c r="B17" s="3" t="s">
        <v>19</v>
      </c>
      <c r="C17" s="3"/>
      <c r="D17" s="3"/>
      <c r="E17" s="3"/>
      <c r="F17" s="3"/>
    </row>
    <row r="18" spans="2:7" ht="23.25" x14ac:dyDescent="0.45">
      <c r="B18" s="12" t="s">
        <v>20</v>
      </c>
      <c r="C18" s="15">
        <v>0.01</v>
      </c>
      <c r="D18" s="15">
        <v>0.02</v>
      </c>
      <c r="E18" s="15">
        <v>0.05</v>
      </c>
      <c r="F18" s="14" t="s">
        <v>21</v>
      </c>
      <c r="G18" s="6" t="s">
        <v>127</v>
      </c>
    </row>
    <row r="19" spans="2:7" x14ac:dyDescent="0.45">
      <c r="B19" s="19" t="s">
        <v>22</v>
      </c>
      <c r="C19" s="20">
        <f>IFERROR(1/C18,0)</f>
        <v>100</v>
      </c>
      <c r="D19" s="20">
        <f>IFERROR(1/D18,0)</f>
        <v>50</v>
      </c>
      <c r="E19" s="20">
        <f>IFERROR(1/E18,0)</f>
        <v>20</v>
      </c>
      <c r="F19" s="21"/>
    </row>
    <row r="21" spans="2:7" x14ac:dyDescent="0.45">
      <c r="B21" s="3" t="s">
        <v>23</v>
      </c>
      <c r="C21" s="3"/>
      <c r="D21" s="3"/>
      <c r="E21" s="3"/>
      <c r="F21" s="3"/>
    </row>
    <row r="22" spans="2:7" ht="23.25" x14ac:dyDescent="0.45">
      <c r="B22" s="12" t="s">
        <v>24</v>
      </c>
      <c r="C22" s="13">
        <v>50000</v>
      </c>
      <c r="D22" s="13">
        <v>100000</v>
      </c>
      <c r="E22" s="13">
        <v>200000</v>
      </c>
      <c r="F22" s="14" t="s">
        <v>9</v>
      </c>
      <c r="G22" s="6" t="s">
        <v>126</v>
      </c>
    </row>
    <row r="24" spans="2:7" x14ac:dyDescent="0.45">
      <c r="B24" s="3" t="s">
        <v>25</v>
      </c>
      <c r="C24" s="3"/>
      <c r="D24" s="3"/>
      <c r="E24" s="3"/>
      <c r="F24" s="3"/>
    </row>
    <row r="25" spans="2:7" x14ac:dyDescent="0.45">
      <c r="B25" s="12" t="s">
        <v>26</v>
      </c>
      <c r="C25" s="13">
        <v>80000000</v>
      </c>
      <c r="D25" s="13">
        <v>100000000</v>
      </c>
      <c r="E25" s="13">
        <v>120000000</v>
      </c>
      <c r="F25" s="14" t="s">
        <v>27</v>
      </c>
      <c r="G25" s="6" t="s">
        <v>133</v>
      </c>
    </row>
    <row r="26" spans="2:7" x14ac:dyDescent="0.45">
      <c r="B26" s="12" t="s">
        <v>28</v>
      </c>
      <c r="C26" s="13">
        <v>10000000</v>
      </c>
      <c r="D26" s="13">
        <v>15000000</v>
      </c>
      <c r="E26" s="13">
        <v>20000000</v>
      </c>
      <c r="F26" s="14" t="s">
        <v>27</v>
      </c>
    </row>
    <row r="27" spans="2:7" x14ac:dyDescent="0.45">
      <c r="B27" s="12" t="s">
        <v>29</v>
      </c>
      <c r="C27" s="13">
        <v>15000000</v>
      </c>
      <c r="D27" s="13">
        <v>30000000</v>
      </c>
      <c r="E27" s="13">
        <v>40000000</v>
      </c>
      <c r="F27" s="14" t="s">
        <v>27</v>
      </c>
    </row>
    <row r="28" spans="2:7" x14ac:dyDescent="0.45">
      <c r="B28" s="19" t="s">
        <v>30</v>
      </c>
      <c r="C28" s="22">
        <f>SUM(C25:C27)</f>
        <v>105000000</v>
      </c>
      <c r="D28" s="22">
        <f>SUM(D25:D27)</f>
        <v>145000000</v>
      </c>
      <c r="E28" s="22">
        <f>SUM(E25:E27)</f>
        <v>180000000</v>
      </c>
      <c r="F28" s="21"/>
    </row>
    <row r="30" spans="2:7" x14ac:dyDescent="0.45">
      <c r="B30" s="3" t="s">
        <v>31</v>
      </c>
      <c r="C30" s="3"/>
      <c r="D30" s="3"/>
      <c r="E30" s="3"/>
      <c r="F30" s="3"/>
    </row>
    <row r="31" spans="2:7" x14ac:dyDescent="0.45">
      <c r="B31" s="12" t="s">
        <v>32</v>
      </c>
      <c r="C31" s="13">
        <v>300000000</v>
      </c>
      <c r="D31" s="13">
        <v>300000000</v>
      </c>
      <c r="E31" s="13">
        <v>300000000</v>
      </c>
      <c r="F31" s="14" t="s">
        <v>9</v>
      </c>
      <c r="G31" s="6" t="s">
        <v>134</v>
      </c>
    </row>
    <row r="32" spans="2:7" x14ac:dyDescent="0.45">
      <c r="B32" s="12" t="s">
        <v>33</v>
      </c>
      <c r="C32" s="13">
        <v>2000000000</v>
      </c>
      <c r="D32" s="13">
        <v>2000000000</v>
      </c>
      <c r="E32" s="13">
        <v>2000000000</v>
      </c>
      <c r="F32" s="14" t="s">
        <v>9</v>
      </c>
      <c r="G32" s="6" t="s">
        <v>135</v>
      </c>
    </row>
    <row r="34" spans="2:7" x14ac:dyDescent="0.45">
      <c r="B34" s="3" t="s">
        <v>34</v>
      </c>
      <c r="C34" s="3"/>
      <c r="D34" s="3"/>
      <c r="E34" s="3"/>
      <c r="F34" s="3"/>
    </row>
    <row r="35" spans="2:7" x14ac:dyDescent="0.45">
      <c r="B35" s="12" t="s">
        <v>35</v>
      </c>
      <c r="C35" s="15">
        <v>0.2</v>
      </c>
      <c r="D35" s="15">
        <v>0.2</v>
      </c>
      <c r="E35" s="15">
        <v>0.2</v>
      </c>
      <c r="F35" s="14" t="s">
        <v>36</v>
      </c>
      <c r="G35" s="6" t="s">
        <v>37</v>
      </c>
    </row>
    <row r="36" spans="2:7" x14ac:dyDescent="0.45">
      <c r="B36" s="19" t="s">
        <v>38</v>
      </c>
      <c r="C36" s="23">
        <f>(1+C35)^(1/12)-1</f>
        <v>1.5309470499731193E-2</v>
      </c>
      <c r="D36" s="23">
        <f>(1+D35)^(1/12)-1</f>
        <v>1.5309470499731193E-2</v>
      </c>
      <c r="E36" s="23">
        <f>(1+E35)^(1/12)-1</f>
        <v>1.5309470499731193E-2</v>
      </c>
      <c r="F36" s="21"/>
    </row>
    <row r="38" spans="2:7" x14ac:dyDescent="0.45">
      <c r="B38" s="3" t="s">
        <v>39</v>
      </c>
      <c r="C38" s="3"/>
      <c r="D38" s="3"/>
      <c r="E38" s="3"/>
      <c r="F38" s="3"/>
    </row>
    <row r="39" spans="2:7" ht="24.75" customHeight="1" x14ac:dyDescent="0.45">
      <c r="B39" s="2" t="s">
        <v>40</v>
      </c>
      <c r="C39" s="2"/>
      <c r="D39" s="2"/>
      <c r="E39" s="2"/>
      <c r="F39" s="2"/>
    </row>
    <row r="40" spans="2:7" ht="24.75" customHeight="1" x14ac:dyDescent="0.45">
      <c r="B40" s="2"/>
      <c r="C40" s="2"/>
      <c r="D40" s="2"/>
      <c r="E40" s="2"/>
      <c r="F40" s="2"/>
    </row>
    <row r="41" spans="2:7" ht="24.75" customHeight="1" x14ac:dyDescent="0.45">
      <c r="B41" s="2"/>
      <c r="C41" s="2"/>
      <c r="D41" s="2"/>
      <c r="E41" s="2"/>
      <c r="F41" s="2"/>
    </row>
  </sheetData>
  <mergeCells count="11">
    <mergeCell ref="B39:F41"/>
    <mergeCell ref="B21:F21"/>
    <mergeCell ref="B24:F24"/>
    <mergeCell ref="B30:F30"/>
    <mergeCell ref="B34:F34"/>
    <mergeCell ref="B38:F38"/>
    <mergeCell ref="B2:F2"/>
    <mergeCell ref="B3:G3"/>
    <mergeCell ref="B5:F5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Normal="100" workbookViewId="0">
      <pane ySplit="5" topLeftCell="A6" activePane="bottomLeft" state="frozen"/>
      <selection pane="bottomLeft" activeCell="C21" sqref="C21:D21"/>
    </sheetView>
  </sheetViews>
  <sheetFormatPr defaultColWidth="8.6640625" defaultRowHeight="14.25" x14ac:dyDescent="0.4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45">
      <c r="B2" s="5" t="s">
        <v>41</v>
      </c>
      <c r="C2" s="5"/>
      <c r="D2" s="5"/>
      <c r="E2" s="5"/>
      <c r="F2" s="5"/>
    </row>
    <row r="3" spans="2:7" ht="19.5" customHeight="1" x14ac:dyDescent="0.45">
      <c r="B3" s="4" t="s">
        <v>42</v>
      </c>
      <c r="C3" s="4"/>
      <c r="D3" s="4"/>
      <c r="E3" s="4"/>
      <c r="F3" s="4"/>
      <c r="G3" s="4"/>
    </row>
    <row r="5" spans="2:7" x14ac:dyDescent="0.45">
      <c r="B5" s="11" t="s">
        <v>43</v>
      </c>
      <c r="C5" s="7" t="s">
        <v>3</v>
      </c>
      <c r="D5" s="8" t="s">
        <v>4</v>
      </c>
      <c r="E5" s="9" t="s">
        <v>5</v>
      </c>
      <c r="F5" s="10" t="s">
        <v>6</v>
      </c>
      <c r="G5" s="11" t="s">
        <v>44</v>
      </c>
    </row>
    <row r="7" spans="2:7" x14ac:dyDescent="0.45">
      <c r="B7" s="3" t="s">
        <v>45</v>
      </c>
      <c r="C7" s="3"/>
      <c r="D7" s="3"/>
      <c r="E7" s="3"/>
      <c r="F7" s="3"/>
    </row>
    <row r="8" spans="2:7" x14ac:dyDescent="0.45">
      <c r="B8" s="12" t="s">
        <v>46</v>
      </c>
      <c r="C8" s="24">
        <f>'1. Assumptions'!C7</f>
        <v>300000</v>
      </c>
      <c r="D8" s="24">
        <f>'1. Assumptions'!D7</f>
        <v>200000</v>
      </c>
      <c r="E8" s="24">
        <f>'1. Assumptions'!E7</f>
        <v>100000</v>
      </c>
      <c r="F8" s="14" t="s">
        <v>9</v>
      </c>
      <c r="G8" s="6" t="s">
        <v>47</v>
      </c>
    </row>
    <row r="9" spans="2:7" x14ac:dyDescent="0.45">
      <c r="B9" s="12" t="s">
        <v>48</v>
      </c>
      <c r="C9" s="24">
        <f>'1. Assumptions'!C15</f>
        <v>32000</v>
      </c>
      <c r="D9" s="24">
        <f>'1. Assumptions'!D15</f>
        <v>75000</v>
      </c>
      <c r="E9" s="24">
        <f>'1. Assumptions'!E15</f>
        <v>150000</v>
      </c>
      <c r="F9" s="14" t="s">
        <v>9</v>
      </c>
    </row>
    <row r="10" spans="2:7" x14ac:dyDescent="0.45">
      <c r="B10" s="19" t="s">
        <v>49</v>
      </c>
      <c r="C10" s="22">
        <f>C8-C9</f>
        <v>268000</v>
      </c>
      <c r="D10" s="22">
        <f>D8-D9</f>
        <v>125000</v>
      </c>
      <c r="E10" s="22">
        <f>E8-E9</f>
        <v>-50000</v>
      </c>
      <c r="F10" s="21"/>
    </row>
    <row r="11" spans="2:7" x14ac:dyDescent="0.45">
      <c r="B11" s="19" t="s">
        <v>50</v>
      </c>
      <c r="C11" s="23">
        <f>IFERROR(C10/C8,0)</f>
        <v>0.89333333333333331</v>
      </c>
      <c r="D11" s="23">
        <f>IFERROR(D10/D8,0)</f>
        <v>0.625</v>
      </c>
      <c r="E11" s="23">
        <f>IFERROR(E10/E8,0)</f>
        <v>-0.5</v>
      </c>
      <c r="F11" s="21"/>
      <c r="G11" s="6" t="s">
        <v>51</v>
      </c>
    </row>
    <row r="13" spans="2:7" x14ac:dyDescent="0.45">
      <c r="B13" s="3" t="s">
        <v>52</v>
      </c>
      <c r="C13" s="3"/>
      <c r="D13" s="3"/>
      <c r="E13" s="3"/>
      <c r="F13" s="3"/>
    </row>
    <row r="14" spans="2:7" x14ac:dyDescent="0.45">
      <c r="B14" s="12" t="s">
        <v>53</v>
      </c>
      <c r="C14" s="25">
        <f>'1. Assumptions'!C19</f>
        <v>100</v>
      </c>
      <c r="D14" s="25">
        <f>'1. Assumptions'!D19</f>
        <v>50</v>
      </c>
      <c r="E14" s="25">
        <f>'1. Assumptions'!E19</f>
        <v>20</v>
      </c>
      <c r="F14" s="14" t="s">
        <v>54</v>
      </c>
    </row>
    <row r="15" spans="2:7" x14ac:dyDescent="0.45">
      <c r="B15" s="19" t="s">
        <v>55</v>
      </c>
      <c r="C15" s="22">
        <f>C10*C14</f>
        <v>26800000</v>
      </c>
      <c r="D15" s="22">
        <f>D10*D14</f>
        <v>6250000</v>
      </c>
      <c r="E15" s="22">
        <f>E10*E14</f>
        <v>-1000000</v>
      </c>
      <c r="F15" s="21"/>
      <c r="G15" s="6" t="s">
        <v>56</v>
      </c>
    </row>
    <row r="17" spans="2:7" x14ac:dyDescent="0.45">
      <c r="B17" s="3" t="s">
        <v>57</v>
      </c>
      <c r="C17" s="3"/>
      <c r="D17" s="3"/>
      <c r="E17" s="3"/>
      <c r="F17" s="3"/>
    </row>
    <row r="18" spans="2:7" x14ac:dyDescent="0.45">
      <c r="B18" s="12" t="s">
        <v>58</v>
      </c>
      <c r="C18" s="24">
        <f>'1. Assumptions'!C22</f>
        <v>50000</v>
      </c>
      <c r="D18" s="24">
        <f>'1. Assumptions'!D22</f>
        <v>100000</v>
      </c>
      <c r="E18" s="24">
        <f>'1. Assumptions'!E22</f>
        <v>200000</v>
      </c>
      <c r="F18" s="14" t="s">
        <v>9</v>
      </c>
    </row>
    <row r="20" spans="2:7" x14ac:dyDescent="0.45">
      <c r="B20" s="3" t="s">
        <v>59</v>
      </c>
      <c r="C20" s="3"/>
      <c r="D20" s="3"/>
      <c r="E20" s="3"/>
      <c r="F20" s="3"/>
    </row>
    <row r="21" spans="2:7" x14ac:dyDescent="0.45">
      <c r="B21" s="19" t="s">
        <v>60</v>
      </c>
      <c r="C21" s="26">
        <f>IFERROR(C15/C18,0)</f>
        <v>536</v>
      </c>
      <c r="D21" s="26">
        <f>IFERROR(D15/D18,0)</f>
        <v>62.5</v>
      </c>
      <c r="E21" s="26">
        <f>IFERROR(E15/E18,0)</f>
        <v>-5</v>
      </c>
      <c r="F21" s="21"/>
      <c r="G21" s="6" t="s">
        <v>61</v>
      </c>
    </row>
    <row r="22" spans="2:7" x14ac:dyDescent="0.45">
      <c r="B22" s="19" t="s">
        <v>62</v>
      </c>
      <c r="C22" s="20">
        <f>IFERROR(C18/C10,0)</f>
        <v>0.18656716417910449</v>
      </c>
      <c r="D22" s="20">
        <f>IFERROR(D18/D10,0)</f>
        <v>0.8</v>
      </c>
      <c r="E22" s="20">
        <f>IFERROR(E18/E10,0)</f>
        <v>-4</v>
      </c>
      <c r="F22" s="21"/>
      <c r="G22" s="6" t="s">
        <v>63</v>
      </c>
    </row>
    <row r="24" spans="2:7" x14ac:dyDescent="0.45">
      <c r="B24" s="3" t="s">
        <v>64</v>
      </c>
      <c r="C24" s="3"/>
      <c r="D24" s="3"/>
      <c r="E24" s="3"/>
      <c r="F24" s="3"/>
    </row>
    <row r="25" spans="2:7" x14ac:dyDescent="0.45">
      <c r="B25" s="11" t="s">
        <v>65</v>
      </c>
      <c r="C25" s="27" t="str">
        <f>IF(AND(C21&gt;=3,C22&lt;=12),"✓ HEALTHY",IF(OR(C21&lt;1,C22&gt;18),"✗ UNHEALTHY","⚠ WATCH"))</f>
        <v>✓ HEALTHY</v>
      </c>
      <c r="D25" s="27" t="str">
        <f>IF(AND(D21&gt;=3,D22&lt;=12),"✓ HEALTHY",IF(OR(D21&lt;1,D22&gt;18),"✗ UNHEALTHY","⚠ WATCH"))</f>
        <v>✓ HEALTHY</v>
      </c>
      <c r="E25" s="27" t="str">
        <f>IF(AND(E21&gt;=3,E22&lt;=12),"✓ HEALTHY",IF(OR(E21&lt;1,E22&gt;18),"✗ UNHEALTHY","⚠ WATCH"))</f>
        <v>✗ UNHEALTHY</v>
      </c>
    </row>
  </sheetData>
  <mergeCells count="7">
    <mergeCell ref="B20:F20"/>
    <mergeCell ref="B24:F24"/>
    <mergeCell ref="B2:F2"/>
    <mergeCell ref="B3:G3"/>
    <mergeCell ref="B7:F7"/>
    <mergeCell ref="B13:F13"/>
    <mergeCell ref="B17:F17"/>
  </mergeCells>
  <conditionalFormatting sqref="C21:E21">
    <cfRule type="cellIs" dxfId="11" priority="2" operator="lessThan">
      <formula>1</formula>
    </cfRule>
    <cfRule type="cellIs" dxfId="10" priority="3" operator="between">
      <formula>1</formula>
      <formula>3</formula>
    </cfRule>
    <cfRule type="cellIs" dxfId="9" priority="4" operator="greaterThanOrEqual">
      <formula>3</formula>
    </cfRule>
  </conditionalFormatting>
  <conditionalFormatting sqref="C22:E22">
    <cfRule type="cellIs" dxfId="8" priority="11" operator="greaterThan">
      <formula>18</formula>
    </cfRule>
    <cfRule type="cellIs" dxfId="7" priority="12" operator="between">
      <formula>12</formula>
      <formula>18</formula>
    </cfRule>
    <cfRule type="cellIs" dxfId="6" priority="13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tabSelected="1" zoomScale="96" zoomScaleNormal="100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 activeCell="L35" sqref="L34:L35"/>
    </sheetView>
  </sheetViews>
  <sheetFormatPr defaultColWidth="8.6640625" defaultRowHeight="14.25" x14ac:dyDescent="0.45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customHeight="1" x14ac:dyDescent="0.45">
      <c r="B2" s="5" t="s">
        <v>66</v>
      </c>
      <c r="C2" s="5"/>
      <c r="D2" s="5"/>
      <c r="E2" s="5"/>
      <c r="F2" s="5"/>
      <c r="G2" s="5"/>
      <c r="H2" s="5"/>
    </row>
    <row r="4" spans="2:8" ht="15" customHeight="1" x14ac:dyDescent="0.45">
      <c r="B4" s="28" t="s">
        <v>67</v>
      </c>
      <c r="C4" s="29" t="s">
        <v>4</v>
      </c>
      <c r="D4" s="4" t="s">
        <v>68</v>
      </c>
      <c r="E4" s="4"/>
      <c r="F4" s="4"/>
      <c r="G4" s="4"/>
      <c r="H4" s="4"/>
    </row>
    <row r="6" spans="2:8" x14ac:dyDescent="0.45">
      <c r="B6" s="30" t="s">
        <v>69</v>
      </c>
      <c r="C6" s="30">
        <f>MATCH(C4,{"Optimistic","Base","Pessimistic"},0)</f>
        <v>2</v>
      </c>
    </row>
    <row r="7" spans="2:8" x14ac:dyDescent="0.45">
      <c r="B7" s="31" t="s">
        <v>70</v>
      </c>
    </row>
    <row r="8" spans="2:8" x14ac:dyDescent="0.45">
      <c r="B8" s="32" t="s">
        <v>71</v>
      </c>
      <c r="C8" s="33">
        <f>CHOOSE($C$6,'1. Assumptions'!C7,'1. Assumptions'!D7,'1. Assumptions'!E7)</f>
        <v>200000</v>
      </c>
    </row>
    <row r="9" spans="2:8" x14ac:dyDescent="0.45">
      <c r="B9" s="32" t="s">
        <v>72</v>
      </c>
      <c r="C9" s="34">
        <f>CHOOSE($C$6,'1. Assumptions'!C8,'1. Assumptions'!D8,'1. Assumptions'!E8)</f>
        <v>5.0000000000000001E-3</v>
      </c>
    </row>
    <row r="10" spans="2:8" x14ac:dyDescent="0.45">
      <c r="B10" s="32" t="s">
        <v>73</v>
      </c>
      <c r="C10" s="33">
        <f>CHOOSE($C$6,'1. Assumptions'!C9,'1. Assumptions'!D9,'1. Assumptions'!E9)</f>
        <v>50000</v>
      </c>
    </row>
    <row r="11" spans="2:8" x14ac:dyDescent="0.45">
      <c r="B11" s="32" t="s">
        <v>74</v>
      </c>
      <c r="C11" s="33">
        <f>CHOOSE($C$6,'1. Assumptions'!C15,'1. Assumptions'!D15,'1. Assumptions'!E15)</f>
        <v>75000</v>
      </c>
    </row>
    <row r="12" spans="2:8" x14ac:dyDescent="0.45">
      <c r="B12" s="32" t="s">
        <v>75</v>
      </c>
      <c r="C12" s="34">
        <f>CHOOSE($C$6,'1. Assumptions'!C18,'1. Assumptions'!D18,'1. Assumptions'!E18)</f>
        <v>0.02</v>
      </c>
    </row>
    <row r="13" spans="2:8" x14ac:dyDescent="0.45">
      <c r="B13" s="32" t="s">
        <v>76</v>
      </c>
      <c r="C13" s="33">
        <f>CHOOSE($C$6,'1. Assumptions'!C22,'1. Assumptions'!D22,'1. Assumptions'!E22)</f>
        <v>100000</v>
      </c>
    </row>
    <row r="14" spans="2:8" x14ac:dyDescent="0.45">
      <c r="B14" s="32" t="s">
        <v>77</v>
      </c>
      <c r="C14" s="33">
        <f>CHOOSE($C$6,'1. Assumptions'!C28,'1. Assumptions'!D28,'1. Assumptions'!E28)</f>
        <v>145000000</v>
      </c>
    </row>
    <row r="15" spans="2:8" x14ac:dyDescent="0.45">
      <c r="B15" s="32" t="s">
        <v>78</v>
      </c>
      <c r="C15" s="33">
        <f>CHOOSE($C$6,'1. Assumptions'!C31,'1. Assumptions'!D31,'1. Assumptions'!E31)</f>
        <v>300000000</v>
      </c>
    </row>
    <row r="16" spans="2:8" x14ac:dyDescent="0.45">
      <c r="B16" s="32" t="s">
        <v>79</v>
      </c>
      <c r="C16" s="33">
        <f>CHOOSE($C$6,'1. Assumptions'!C32,'1. Assumptions'!D32,'1. Assumptions'!E32)</f>
        <v>2000000000</v>
      </c>
    </row>
    <row r="17" spans="2:27" x14ac:dyDescent="0.45">
      <c r="B17" s="32" t="s">
        <v>80</v>
      </c>
      <c r="C17" s="34">
        <f>CHOOSE($C$6,'1. Assumptions'!C36,'1. Assumptions'!D36,'1. Assumptions'!E36)</f>
        <v>1.5309470499731193E-2</v>
      </c>
    </row>
    <row r="20" spans="2:27" x14ac:dyDescent="0.45">
      <c r="B20" s="3" t="s">
        <v>81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x14ac:dyDescent="0.45">
      <c r="B21" s="35" t="s">
        <v>82</v>
      </c>
      <c r="C21" s="36" t="s">
        <v>83</v>
      </c>
      <c r="D21" s="36" t="s">
        <v>84</v>
      </c>
      <c r="E21" s="36" t="s">
        <v>85</v>
      </c>
      <c r="F21" s="36" t="s">
        <v>86</v>
      </c>
      <c r="G21" s="36" t="s">
        <v>87</v>
      </c>
      <c r="H21" s="36" t="s">
        <v>88</v>
      </c>
      <c r="I21" s="36" t="s">
        <v>89</v>
      </c>
      <c r="J21" s="36" t="s">
        <v>90</v>
      </c>
      <c r="K21" s="36" t="s">
        <v>91</v>
      </c>
      <c r="L21" s="36" t="s">
        <v>92</v>
      </c>
      <c r="M21" s="36" t="s">
        <v>93</v>
      </c>
      <c r="N21" s="36" t="s">
        <v>94</v>
      </c>
      <c r="O21" s="36" t="s">
        <v>95</v>
      </c>
      <c r="P21" s="36" t="s">
        <v>96</v>
      </c>
      <c r="Q21" s="36" t="s">
        <v>97</v>
      </c>
      <c r="R21" s="36" t="s">
        <v>98</v>
      </c>
      <c r="S21" s="36" t="s">
        <v>99</v>
      </c>
      <c r="T21" s="36" t="s">
        <v>100</v>
      </c>
      <c r="U21" s="36" t="s">
        <v>101</v>
      </c>
      <c r="V21" s="36" t="s">
        <v>102</v>
      </c>
      <c r="W21" s="36" t="s">
        <v>103</v>
      </c>
      <c r="X21" s="36" t="s">
        <v>104</v>
      </c>
      <c r="Y21" s="36" t="s">
        <v>105</v>
      </c>
      <c r="Z21" s="36" t="s">
        <v>106</v>
      </c>
      <c r="AA21" s="37" t="s">
        <v>107</v>
      </c>
    </row>
    <row r="22" spans="2:27" x14ac:dyDescent="0.45">
      <c r="B22" s="12" t="s">
        <v>108</v>
      </c>
      <c r="C22" s="38">
        <f t="shared" ref="C22:Z22" si="0">ROUND($C$10*$C$9,0)</f>
        <v>250</v>
      </c>
      <c r="D22" s="38">
        <f t="shared" si="0"/>
        <v>250</v>
      </c>
      <c r="E22" s="38">
        <f t="shared" si="0"/>
        <v>250</v>
      </c>
      <c r="F22" s="38">
        <f t="shared" si="0"/>
        <v>250</v>
      </c>
      <c r="G22" s="38">
        <f t="shared" si="0"/>
        <v>250</v>
      </c>
      <c r="H22" s="38">
        <f t="shared" si="0"/>
        <v>250</v>
      </c>
      <c r="I22" s="38">
        <f t="shared" si="0"/>
        <v>250</v>
      </c>
      <c r="J22" s="38">
        <f t="shared" si="0"/>
        <v>250</v>
      </c>
      <c r="K22" s="38">
        <f t="shared" si="0"/>
        <v>250</v>
      </c>
      <c r="L22" s="38">
        <f t="shared" si="0"/>
        <v>250</v>
      </c>
      <c r="M22" s="38">
        <f t="shared" si="0"/>
        <v>250</v>
      </c>
      <c r="N22" s="38">
        <f t="shared" si="0"/>
        <v>250</v>
      </c>
      <c r="O22" s="38">
        <f t="shared" si="0"/>
        <v>250</v>
      </c>
      <c r="P22" s="38">
        <f t="shared" si="0"/>
        <v>250</v>
      </c>
      <c r="Q22" s="38">
        <f t="shared" si="0"/>
        <v>250</v>
      </c>
      <c r="R22" s="38">
        <f t="shared" si="0"/>
        <v>250</v>
      </c>
      <c r="S22" s="38">
        <f t="shared" si="0"/>
        <v>250</v>
      </c>
      <c r="T22" s="38">
        <f t="shared" si="0"/>
        <v>250</v>
      </c>
      <c r="U22" s="38">
        <f t="shared" si="0"/>
        <v>250</v>
      </c>
      <c r="V22" s="38">
        <f t="shared" si="0"/>
        <v>250</v>
      </c>
      <c r="W22" s="38">
        <f t="shared" si="0"/>
        <v>250</v>
      </c>
      <c r="X22" s="38">
        <f t="shared" si="0"/>
        <v>250</v>
      </c>
      <c r="Y22" s="38">
        <f t="shared" si="0"/>
        <v>250</v>
      </c>
      <c r="Z22" s="38">
        <f t="shared" si="0"/>
        <v>250</v>
      </c>
      <c r="AA22" s="39">
        <f>SUM(C22:Z22)</f>
        <v>6000</v>
      </c>
    </row>
    <row r="23" spans="2:27" x14ac:dyDescent="0.45">
      <c r="B23" s="12" t="s">
        <v>109</v>
      </c>
      <c r="C23" s="38">
        <f>C22</f>
        <v>250</v>
      </c>
      <c r="D23" s="38">
        <f t="shared" ref="D23:Z23" si="1">C23*(1-$C$12)+D22</f>
        <v>495</v>
      </c>
      <c r="E23" s="38">
        <f t="shared" si="1"/>
        <v>735.09999999999991</v>
      </c>
      <c r="F23" s="38">
        <f t="shared" si="1"/>
        <v>970.39799999999991</v>
      </c>
      <c r="G23" s="38">
        <f t="shared" si="1"/>
        <v>1200.9900399999999</v>
      </c>
      <c r="H23" s="38">
        <f t="shared" si="1"/>
        <v>1426.9702391999999</v>
      </c>
      <c r="I23" s="38">
        <f t="shared" si="1"/>
        <v>1648.4308344159999</v>
      </c>
      <c r="J23" s="38">
        <f t="shared" si="1"/>
        <v>1865.4622177276799</v>
      </c>
      <c r="K23" s="38">
        <f t="shared" si="1"/>
        <v>2078.1529733731263</v>
      </c>
      <c r="L23" s="38">
        <f t="shared" si="1"/>
        <v>2286.5899139056637</v>
      </c>
      <c r="M23" s="38">
        <f t="shared" si="1"/>
        <v>2490.8581156275504</v>
      </c>
      <c r="N23" s="38">
        <f t="shared" si="1"/>
        <v>2691.0409533149996</v>
      </c>
      <c r="O23" s="38">
        <f t="shared" si="1"/>
        <v>2887.2201342486997</v>
      </c>
      <c r="P23" s="38">
        <f t="shared" si="1"/>
        <v>3079.4757315637257</v>
      </c>
      <c r="Q23" s="38">
        <f t="shared" si="1"/>
        <v>3267.8862169324511</v>
      </c>
      <c r="R23" s="38">
        <f t="shared" si="1"/>
        <v>3452.5284925938022</v>
      </c>
      <c r="S23" s="38">
        <f t="shared" si="1"/>
        <v>3633.4779227419262</v>
      </c>
      <c r="T23" s="38">
        <f t="shared" si="1"/>
        <v>3810.8083642870874</v>
      </c>
      <c r="U23" s="38">
        <f t="shared" si="1"/>
        <v>3984.5921970013455</v>
      </c>
      <c r="V23" s="38">
        <f t="shared" si="1"/>
        <v>4154.900353061319</v>
      </c>
      <c r="W23" s="38">
        <f t="shared" si="1"/>
        <v>4321.8023460000932</v>
      </c>
      <c r="X23" s="38">
        <f t="shared" si="1"/>
        <v>4485.3662990800913</v>
      </c>
      <c r="Y23" s="38">
        <f t="shared" si="1"/>
        <v>4645.6589730984897</v>
      </c>
      <c r="Z23" s="38">
        <f t="shared" si="1"/>
        <v>4802.7457936365199</v>
      </c>
    </row>
    <row r="25" spans="2:27" x14ac:dyDescent="0.45">
      <c r="B25" s="40" t="s">
        <v>110</v>
      </c>
      <c r="C25" s="41">
        <f t="shared" ref="C25:Z25" si="2">C23*$C$8</f>
        <v>50000000</v>
      </c>
      <c r="D25" s="41">
        <f t="shared" si="2"/>
        <v>99000000</v>
      </c>
      <c r="E25" s="41">
        <f t="shared" si="2"/>
        <v>147019999.99999997</v>
      </c>
      <c r="F25" s="41">
        <f t="shared" si="2"/>
        <v>194079599.99999997</v>
      </c>
      <c r="G25" s="41">
        <f t="shared" si="2"/>
        <v>240198007.99999997</v>
      </c>
      <c r="H25" s="41">
        <f t="shared" si="2"/>
        <v>285394047.83999997</v>
      </c>
      <c r="I25" s="41">
        <f t="shared" si="2"/>
        <v>329686166.88319999</v>
      </c>
      <c r="J25" s="41">
        <f t="shared" si="2"/>
        <v>373092443.54553598</v>
      </c>
      <c r="K25" s="41">
        <f t="shared" si="2"/>
        <v>415630594.67462528</v>
      </c>
      <c r="L25" s="41">
        <f t="shared" si="2"/>
        <v>457317982.78113276</v>
      </c>
      <c r="M25" s="41">
        <f t="shared" si="2"/>
        <v>498171623.1255101</v>
      </c>
      <c r="N25" s="41">
        <f t="shared" si="2"/>
        <v>538208190.66299987</v>
      </c>
      <c r="O25" s="41">
        <f t="shared" si="2"/>
        <v>577444026.84973991</v>
      </c>
      <c r="P25" s="41">
        <f t="shared" si="2"/>
        <v>615895146.31274509</v>
      </c>
      <c r="Q25" s="41">
        <f t="shared" si="2"/>
        <v>653577243.38649023</v>
      </c>
      <c r="R25" s="41">
        <f t="shared" si="2"/>
        <v>690505698.51876044</v>
      </c>
      <c r="S25" s="41">
        <f t="shared" si="2"/>
        <v>726695584.54838526</v>
      </c>
      <c r="T25" s="41">
        <f t="shared" si="2"/>
        <v>762161672.85741746</v>
      </c>
      <c r="U25" s="41">
        <f t="shared" si="2"/>
        <v>796918439.40026915</v>
      </c>
      <c r="V25" s="41">
        <f t="shared" si="2"/>
        <v>830980070.6122638</v>
      </c>
      <c r="W25" s="41">
        <f t="shared" si="2"/>
        <v>864360469.20001864</v>
      </c>
      <c r="X25" s="41">
        <f t="shared" si="2"/>
        <v>897073259.81601822</v>
      </c>
      <c r="Y25" s="41">
        <f t="shared" si="2"/>
        <v>929131794.61969793</v>
      </c>
      <c r="Z25" s="41">
        <f t="shared" si="2"/>
        <v>960549158.72730398</v>
      </c>
      <c r="AA25" s="42">
        <f t="shared" ref="AA25:AA30" si="3">SUM(C25:Z25)</f>
        <v>12933091222.362116</v>
      </c>
    </row>
    <row r="26" spans="2:27" x14ac:dyDescent="0.45">
      <c r="B26" s="12" t="s">
        <v>111</v>
      </c>
      <c r="C26" s="38">
        <f t="shared" ref="C26:Z26" si="4">C23*$C$11</f>
        <v>18750000</v>
      </c>
      <c r="D26" s="38">
        <f t="shared" si="4"/>
        <v>37125000</v>
      </c>
      <c r="E26" s="38">
        <f t="shared" si="4"/>
        <v>55132499.999999993</v>
      </c>
      <c r="F26" s="38">
        <f t="shared" si="4"/>
        <v>72779850</v>
      </c>
      <c r="G26" s="38">
        <f t="shared" si="4"/>
        <v>90074253</v>
      </c>
      <c r="H26" s="38">
        <f t="shared" si="4"/>
        <v>107022767.94</v>
      </c>
      <c r="I26" s="38">
        <f t="shared" si="4"/>
        <v>123632312.58119999</v>
      </c>
      <c r="J26" s="38">
        <f t="shared" si="4"/>
        <v>139909666.32957599</v>
      </c>
      <c r="K26" s="38">
        <f t="shared" si="4"/>
        <v>155861473.00298446</v>
      </c>
      <c r="L26" s="38">
        <f t="shared" si="4"/>
        <v>171494243.54292479</v>
      </c>
      <c r="M26" s="38">
        <f t="shared" si="4"/>
        <v>186814358.67206627</v>
      </c>
      <c r="N26" s="38">
        <f t="shared" si="4"/>
        <v>201828071.49862498</v>
      </c>
      <c r="O26" s="38">
        <f t="shared" si="4"/>
        <v>216541510.06865248</v>
      </c>
      <c r="P26" s="38">
        <f t="shared" si="4"/>
        <v>230960679.86727944</v>
      </c>
      <c r="Q26" s="38">
        <f t="shared" si="4"/>
        <v>245091466.26993385</v>
      </c>
      <c r="R26" s="38">
        <f t="shared" si="4"/>
        <v>258939636.94453517</v>
      </c>
      <c r="S26" s="38">
        <f t="shared" si="4"/>
        <v>272510844.20564449</v>
      </c>
      <c r="T26" s="38">
        <f t="shared" si="4"/>
        <v>285810627.32153153</v>
      </c>
      <c r="U26" s="38">
        <f t="shared" si="4"/>
        <v>298844414.77510089</v>
      </c>
      <c r="V26" s="38">
        <f t="shared" si="4"/>
        <v>311617526.47959894</v>
      </c>
      <c r="W26" s="38">
        <f t="shared" si="4"/>
        <v>324135175.95000696</v>
      </c>
      <c r="X26" s="38">
        <f t="shared" si="4"/>
        <v>336402472.43100685</v>
      </c>
      <c r="Y26" s="38">
        <f t="shared" si="4"/>
        <v>348424422.98238671</v>
      </c>
      <c r="Z26" s="38">
        <f t="shared" si="4"/>
        <v>360205934.52273899</v>
      </c>
      <c r="AA26" s="39">
        <f t="shared" si="3"/>
        <v>4849909208.3857937</v>
      </c>
    </row>
    <row r="27" spans="2:27" x14ac:dyDescent="0.45">
      <c r="B27" s="11" t="s">
        <v>112</v>
      </c>
      <c r="C27" s="43">
        <f t="shared" ref="C27:Z27" si="5">C25-C26</f>
        <v>31250000</v>
      </c>
      <c r="D27" s="43">
        <f t="shared" si="5"/>
        <v>61875000</v>
      </c>
      <c r="E27" s="43">
        <f t="shared" si="5"/>
        <v>91887499.99999997</v>
      </c>
      <c r="F27" s="43">
        <f t="shared" si="5"/>
        <v>121299749.99999997</v>
      </c>
      <c r="G27" s="43">
        <f t="shared" si="5"/>
        <v>150123754.99999997</v>
      </c>
      <c r="H27" s="43">
        <f t="shared" si="5"/>
        <v>178371279.89999998</v>
      </c>
      <c r="I27" s="43">
        <f t="shared" si="5"/>
        <v>206053854.30199999</v>
      </c>
      <c r="J27" s="43">
        <f t="shared" si="5"/>
        <v>233182777.21596</v>
      </c>
      <c r="K27" s="43">
        <f t="shared" si="5"/>
        <v>259769121.67164081</v>
      </c>
      <c r="L27" s="43">
        <f t="shared" si="5"/>
        <v>285823739.23820794</v>
      </c>
      <c r="M27" s="43">
        <f t="shared" si="5"/>
        <v>311357264.45344383</v>
      </c>
      <c r="N27" s="43">
        <f t="shared" si="5"/>
        <v>336380119.16437489</v>
      </c>
      <c r="O27" s="43">
        <f t="shared" si="5"/>
        <v>360902516.7810874</v>
      </c>
      <c r="P27" s="43">
        <f t="shared" si="5"/>
        <v>384934466.44546568</v>
      </c>
      <c r="Q27" s="43">
        <f t="shared" si="5"/>
        <v>408485777.11655641</v>
      </c>
      <c r="R27" s="43">
        <f t="shared" si="5"/>
        <v>431566061.57422531</v>
      </c>
      <c r="S27" s="43">
        <f t="shared" si="5"/>
        <v>454184740.34274077</v>
      </c>
      <c r="T27" s="43">
        <f t="shared" si="5"/>
        <v>476351045.53588593</v>
      </c>
      <c r="U27" s="43">
        <f t="shared" si="5"/>
        <v>498074024.62516826</v>
      </c>
      <c r="V27" s="43">
        <f t="shared" si="5"/>
        <v>519362544.13266486</v>
      </c>
      <c r="W27" s="43">
        <f t="shared" si="5"/>
        <v>540225293.25001168</v>
      </c>
      <c r="X27" s="43">
        <f t="shared" si="5"/>
        <v>560670787.38501143</v>
      </c>
      <c r="Y27" s="43">
        <f t="shared" si="5"/>
        <v>580707371.63731122</v>
      </c>
      <c r="Z27" s="43">
        <f t="shared" si="5"/>
        <v>600343224.20456505</v>
      </c>
      <c r="AA27" s="39">
        <f t="shared" si="3"/>
        <v>8083182013.9763212</v>
      </c>
    </row>
    <row r="28" spans="2:27" x14ac:dyDescent="0.45">
      <c r="B28" s="12" t="s">
        <v>113</v>
      </c>
      <c r="C28" s="38">
        <f t="shared" ref="C28:Z28" si="6">C22*$C$13</f>
        <v>25000000</v>
      </c>
      <c r="D28" s="38">
        <f t="shared" si="6"/>
        <v>25000000</v>
      </c>
      <c r="E28" s="38">
        <f t="shared" si="6"/>
        <v>25000000</v>
      </c>
      <c r="F28" s="38">
        <f t="shared" si="6"/>
        <v>25000000</v>
      </c>
      <c r="G28" s="38">
        <f t="shared" si="6"/>
        <v>25000000</v>
      </c>
      <c r="H28" s="38">
        <f t="shared" si="6"/>
        <v>25000000</v>
      </c>
      <c r="I28" s="38">
        <f t="shared" si="6"/>
        <v>25000000</v>
      </c>
      <c r="J28" s="38">
        <f t="shared" si="6"/>
        <v>25000000</v>
      </c>
      <c r="K28" s="38">
        <f t="shared" si="6"/>
        <v>25000000</v>
      </c>
      <c r="L28" s="38">
        <f t="shared" si="6"/>
        <v>25000000</v>
      </c>
      <c r="M28" s="38">
        <f t="shared" si="6"/>
        <v>25000000</v>
      </c>
      <c r="N28" s="38">
        <f t="shared" si="6"/>
        <v>25000000</v>
      </c>
      <c r="O28" s="38">
        <f t="shared" si="6"/>
        <v>25000000</v>
      </c>
      <c r="P28" s="38">
        <f t="shared" si="6"/>
        <v>25000000</v>
      </c>
      <c r="Q28" s="38">
        <f t="shared" si="6"/>
        <v>25000000</v>
      </c>
      <c r="R28" s="38">
        <f t="shared" si="6"/>
        <v>25000000</v>
      </c>
      <c r="S28" s="38">
        <f t="shared" si="6"/>
        <v>25000000</v>
      </c>
      <c r="T28" s="38">
        <f t="shared" si="6"/>
        <v>25000000</v>
      </c>
      <c r="U28" s="38">
        <f t="shared" si="6"/>
        <v>25000000</v>
      </c>
      <c r="V28" s="38">
        <f t="shared" si="6"/>
        <v>25000000</v>
      </c>
      <c r="W28" s="38">
        <f t="shared" si="6"/>
        <v>25000000</v>
      </c>
      <c r="X28" s="38">
        <f t="shared" si="6"/>
        <v>25000000</v>
      </c>
      <c r="Y28" s="38">
        <f t="shared" si="6"/>
        <v>25000000</v>
      </c>
      <c r="Z28" s="38">
        <f t="shared" si="6"/>
        <v>25000000</v>
      </c>
      <c r="AA28" s="39">
        <f t="shared" si="3"/>
        <v>600000000</v>
      </c>
    </row>
    <row r="29" spans="2:27" x14ac:dyDescent="0.45">
      <c r="B29" s="12" t="s">
        <v>114</v>
      </c>
      <c r="C29" s="38">
        <f t="shared" ref="C29:Z29" si="7">$C$14</f>
        <v>145000000</v>
      </c>
      <c r="D29" s="38">
        <f t="shared" si="7"/>
        <v>145000000</v>
      </c>
      <c r="E29" s="38">
        <f t="shared" si="7"/>
        <v>145000000</v>
      </c>
      <c r="F29" s="38">
        <f t="shared" si="7"/>
        <v>145000000</v>
      </c>
      <c r="G29" s="38">
        <f t="shared" si="7"/>
        <v>145000000</v>
      </c>
      <c r="H29" s="38">
        <f t="shared" si="7"/>
        <v>145000000</v>
      </c>
      <c r="I29" s="38">
        <f t="shared" si="7"/>
        <v>145000000</v>
      </c>
      <c r="J29" s="38">
        <f t="shared" si="7"/>
        <v>145000000</v>
      </c>
      <c r="K29" s="38">
        <f t="shared" si="7"/>
        <v>145000000</v>
      </c>
      <c r="L29" s="38">
        <f t="shared" si="7"/>
        <v>145000000</v>
      </c>
      <c r="M29" s="38">
        <f t="shared" si="7"/>
        <v>145000000</v>
      </c>
      <c r="N29" s="38">
        <f t="shared" si="7"/>
        <v>145000000</v>
      </c>
      <c r="O29" s="38">
        <f t="shared" si="7"/>
        <v>145000000</v>
      </c>
      <c r="P29" s="38">
        <f t="shared" si="7"/>
        <v>145000000</v>
      </c>
      <c r="Q29" s="38">
        <f t="shared" si="7"/>
        <v>145000000</v>
      </c>
      <c r="R29" s="38">
        <f t="shared" si="7"/>
        <v>145000000</v>
      </c>
      <c r="S29" s="38">
        <f t="shared" si="7"/>
        <v>145000000</v>
      </c>
      <c r="T29" s="38">
        <f t="shared" si="7"/>
        <v>145000000</v>
      </c>
      <c r="U29" s="38">
        <f t="shared" si="7"/>
        <v>145000000</v>
      </c>
      <c r="V29" s="38">
        <f t="shared" si="7"/>
        <v>145000000</v>
      </c>
      <c r="W29" s="38">
        <f t="shared" si="7"/>
        <v>145000000</v>
      </c>
      <c r="X29" s="38">
        <f t="shared" si="7"/>
        <v>145000000</v>
      </c>
      <c r="Y29" s="38">
        <f t="shared" si="7"/>
        <v>145000000</v>
      </c>
      <c r="Z29" s="38">
        <f t="shared" si="7"/>
        <v>145000000</v>
      </c>
      <c r="AA29" s="39">
        <f t="shared" si="3"/>
        <v>3480000000</v>
      </c>
    </row>
    <row r="30" spans="2:27" x14ac:dyDescent="0.45">
      <c r="B30" s="19" t="s">
        <v>115</v>
      </c>
      <c r="C30" s="44">
        <f t="shared" ref="C30:Z30" si="8">C27-C28-C29</f>
        <v>-138750000</v>
      </c>
      <c r="D30" s="44">
        <f t="shared" si="8"/>
        <v>-108125000</v>
      </c>
      <c r="E30" s="44">
        <f t="shared" si="8"/>
        <v>-78112500.00000003</v>
      </c>
      <c r="F30" s="44">
        <f t="shared" si="8"/>
        <v>-48700250.00000003</v>
      </c>
      <c r="G30" s="44">
        <f t="shared" si="8"/>
        <v>-19876245.00000003</v>
      </c>
      <c r="H30" s="44">
        <f t="shared" si="8"/>
        <v>8371279.8999999762</v>
      </c>
      <c r="I30" s="44">
        <f t="shared" si="8"/>
        <v>36053854.301999986</v>
      </c>
      <c r="J30" s="44">
        <f t="shared" si="8"/>
        <v>63182777.215959996</v>
      </c>
      <c r="K30" s="44">
        <f t="shared" si="8"/>
        <v>89769121.671640813</v>
      </c>
      <c r="L30" s="44">
        <f t="shared" si="8"/>
        <v>115823739.23820794</v>
      </c>
      <c r="M30" s="44">
        <f t="shared" si="8"/>
        <v>141357264.45344383</v>
      </c>
      <c r="N30" s="44">
        <f t="shared" si="8"/>
        <v>166380119.16437489</v>
      </c>
      <c r="O30" s="44">
        <f t="shared" si="8"/>
        <v>190902516.7810874</v>
      </c>
      <c r="P30" s="44">
        <f t="shared" si="8"/>
        <v>214934466.44546568</v>
      </c>
      <c r="Q30" s="44">
        <f t="shared" si="8"/>
        <v>238485777.11655641</v>
      </c>
      <c r="R30" s="44">
        <f t="shared" si="8"/>
        <v>261566061.57422531</v>
      </c>
      <c r="S30" s="44">
        <f t="shared" si="8"/>
        <v>284184740.34274077</v>
      </c>
      <c r="T30" s="44">
        <f t="shared" si="8"/>
        <v>306351045.53588593</v>
      </c>
      <c r="U30" s="44">
        <f t="shared" si="8"/>
        <v>328074024.62516826</v>
      </c>
      <c r="V30" s="44">
        <f t="shared" si="8"/>
        <v>349362544.13266486</v>
      </c>
      <c r="W30" s="44">
        <f t="shared" si="8"/>
        <v>370225293.25001168</v>
      </c>
      <c r="X30" s="44">
        <f t="shared" si="8"/>
        <v>390670787.38501143</v>
      </c>
      <c r="Y30" s="44">
        <f t="shared" si="8"/>
        <v>410707371.63731122</v>
      </c>
      <c r="Z30" s="44">
        <f t="shared" si="8"/>
        <v>430343224.20456505</v>
      </c>
      <c r="AA30" s="45">
        <f t="shared" si="3"/>
        <v>4003182013.9763212</v>
      </c>
    </row>
    <row r="32" spans="2:27" x14ac:dyDescent="0.45">
      <c r="B32" s="12" t="s">
        <v>116</v>
      </c>
      <c r="C32" s="38">
        <f>C30-$C$15</f>
        <v>-438750000</v>
      </c>
      <c r="D32" s="38">
        <f t="shared" ref="D32:Z32" si="9">D30</f>
        <v>-108125000</v>
      </c>
      <c r="E32" s="38">
        <f t="shared" si="9"/>
        <v>-78112500.00000003</v>
      </c>
      <c r="F32" s="38">
        <f t="shared" si="9"/>
        <v>-48700250.00000003</v>
      </c>
      <c r="G32" s="38">
        <f t="shared" si="9"/>
        <v>-19876245.00000003</v>
      </c>
      <c r="H32" s="38">
        <f t="shared" si="9"/>
        <v>8371279.8999999762</v>
      </c>
      <c r="I32" s="38">
        <f t="shared" si="9"/>
        <v>36053854.301999986</v>
      </c>
      <c r="J32" s="38">
        <f t="shared" si="9"/>
        <v>63182777.215959996</v>
      </c>
      <c r="K32" s="38">
        <f t="shared" si="9"/>
        <v>89769121.671640813</v>
      </c>
      <c r="L32" s="38">
        <f t="shared" si="9"/>
        <v>115823739.23820794</v>
      </c>
      <c r="M32" s="38">
        <f t="shared" si="9"/>
        <v>141357264.45344383</v>
      </c>
      <c r="N32" s="38">
        <f t="shared" si="9"/>
        <v>166380119.16437489</v>
      </c>
      <c r="O32" s="38">
        <f t="shared" si="9"/>
        <v>190902516.7810874</v>
      </c>
      <c r="P32" s="38">
        <f t="shared" si="9"/>
        <v>214934466.44546568</v>
      </c>
      <c r="Q32" s="38">
        <f t="shared" si="9"/>
        <v>238485777.11655641</v>
      </c>
      <c r="R32" s="38">
        <f t="shared" si="9"/>
        <v>261566061.57422531</v>
      </c>
      <c r="S32" s="38">
        <f t="shared" si="9"/>
        <v>284184740.34274077</v>
      </c>
      <c r="T32" s="38">
        <f t="shared" si="9"/>
        <v>306351045.53588593</v>
      </c>
      <c r="U32" s="38">
        <f t="shared" si="9"/>
        <v>328074024.62516826</v>
      </c>
      <c r="V32" s="38">
        <f t="shared" si="9"/>
        <v>349362544.13266486</v>
      </c>
      <c r="W32" s="38">
        <f t="shared" si="9"/>
        <v>370225293.25001168</v>
      </c>
      <c r="X32" s="38">
        <f t="shared" si="9"/>
        <v>390670787.38501143</v>
      </c>
      <c r="Y32" s="38">
        <f t="shared" si="9"/>
        <v>410707371.63731122</v>
      </c>
      <c r="Z32" s="38">
        <f t="shared" si="9"/>
        <v>430343224.20456505</v>
      </c>
      <c r="AA32" s="39">
        <f>SUM(C32:Z32)</f>
        <v>3703182013.9763212</v>
      </c>
    </row>
    <row r="33" spans="2:26" x14ac:dyDescent="0.45">
      <c r="B33" s="46" t="s">
        <v>117</v>
      </c>
      <c r="C33" s="47">
        <f>$C$16+C32</f>
        <v>1561250000</v>
      </c>
      <c r="D33" s="47">
        <f t="shared" ref="D33:Z33" si="10">C33+D32</f>
        <v>1453125000</v>
      </c>
      <c r="E33" s="47">
        <f t="shared" si="10"/>
        <v>1375012500</v>
      </c>
      <c r="F33" s="47">
        <f t="shared" si="10"/>
        <v>1326312250</v>
      </c>
      <c r="G33" s="47">
        <f t="shared" si="10"/>
        <v>1306436005</v>
      </c>
      <c r="H33" s="47">
        <f t="shared" si="10"/>
        <v>1314807284.9000001</v>
      </c>
      <c r="I33" s="47">
        <f t="shared" si="10"/>
        <v>1350861139.2020001</v>
      </c>
      <c r="J33" s="47">
        <f t="shared" si="10"/>
        <v>1414043916.4179602</v>
      </c>
      <c r="K33" s="47">
        <f t="shared" si="10"/>
        <v>1503813038.089601</v>
      </c>
      <c r="L33" s="47">
        <f t="shared" si="10"/>
        <v>1619636777.3278089</v>
      </c>
      <c r="M33" s="47">
        <f t="shared" si="10"/>
        <v>1760994041.7812526</v>
      </c>
      <c r="N33" s="47">
        <f t="shared" si="10"/>
        <v>1927374160.9456275</v>
      </c>
      <c r="O33" s="47">
        <f t="shared" si="10"/>
        <v>2118276677.7267148</v>
      </c>
      <c r="P33" s="47">
        <f t="shared" si="10"/>
        <v>2333211144.1721807</v>
      </c>
      <c r="Q33" s="47">
        <f t="shared" si="10"/>
        <v>2571696921.2887373</v>
      </c>
      <c r="R33" s="47">
        <f t="shared" si="10"/>
        <v>2833262982.8629627</v>
      </c>
      <c r="S33" s="47">
        <f t="shared" si="10"/>
        <v>3117447723.2057037</v>
      </c>
      <c r="T33" s="47">
        <f t="shared" si="10"/>
        <v>3423798768.7415895</v>
      </c>
      <c r="U33" s="47">
        <f t="shared" si="10"/>
        <v>3751872793.3667579</v>
      </c>
      <c r="V33" s="47">
        <f t="shared" si="10"/>
        <v>4101235337.4994226</v>
      </c>
      <c r="W33" s="47">
        <f t="shared" si="10"/>
        <v>4471460630.7494345</v>
      </c>
      <c r="X33" s="47">
        <f t="shared" si="10"/>
        <v>4862131418.1344461</v>
      </c>
      <c r="Y33" s="47">
        <f t="shared" si="10"/>
        <v>5272838789.7717571</v>
      </c>
      <c r="Z33" s="47">
        <f t="shared" si="10"/>
        <v>5703182013.9763222</v>
      </c>
    </row>
    <row r="36" spans="2:26" x14ac:dyDescent="0.45">
      <c r="B36" s="3" t="s">
        <v>118</v>
      </c>
      <c r="C36" s="3"/>
      <c r="D36" s="3"/>
      <c r="E36" s="3"/>
      <c r="F36" s="3"/>
      <c r="G36" s="3"/>
      <c r="H36" s="3"/>
      <c r="I36" s="3"/>
      <c r="J36" s="3"/>
    </row>
    <row r="37" spans="2:26" x14ac:dyDescent="0.45">
      <c r="B37" s="11" t="s">
        <v>119</v>
      </c>
      <c r="C37" s="48">
        <f>(NPV($C$17,D32:Z32)+C32)/1000000</f>
        <v>2715.9020493737012</v>
      </c>
      <c r="D37" s="30" t="str">
        <f>"(target: &gt; 0)"</f>
        <v>(target: &gt; 0)</v>
      </c>
    </row>
    <row r="38" spans="2:26" x14ac:dyDescent="0.45">
      <c r="B38" s="11" t="s">
        <v>120</v>
      </c>
      <c r="C38" s="49">
        <f>IFERROR((1+IRR(C32:Z32))^12-1,0)</f>
        <v>3.3489801297866899</v>
      </c>
      <c r="D38" s="30" t="str">
        <f>"(target: &gt; "&amp;TEXT(CHOOSE($C$6,'1. Assumptions'!C35,'1. Assumptions'!D35,'1. Assumptions'!E35),"0.0%")&amp;")"</f>
        <v>(target: &gt; 20.0%)</v>
      </c>
    </row>
    <row r="39" spans="2:26" x14ac:dyDescent="0.45">
      <c r="B39" s="11" t="s">
        <v>121</v>
      </c>
      <c r="C39" s="50">
        <f>IFERROR(MATCH(TRUE(),INDEX(C41:Z41&gt;=0,0),0),"&gt; 24")</f>
        <v>13</v>
      </c>
      <c r="D39" s="30" t="str">
        <f>"(target: &lt; 24)"</f>
        <v>(target: &lt; 24)</v>
      </c>
    </row>
    <row r="40" spans="2:26" x14ac:dyDescent="0.45">
      <c r="B40" s="11" t="s">
        <v>122</v>
      </c>
      <c r="C40" s="50" t="str">
        <f>IFERROR(MATCH(TRUE(),INDEX(C33:Z33&lt;0,0),0)-1,"&gt;= 24")</f>
        <v>&gt;= 24</v>
      </c>
      <c r="D40" s="30" t="str">
        <f>"(target: &gt;= 12)"</f>
        <v>(target: &gt;= 12)</v>
      </c>
    </row>
    <row r="41" spans="2:26" x14ac:dyDescent="0.45">
      <c r="B41" s="51" t="s">
        <v>123</v>
      </c>
      <c r="C41" s="52">
        <f>C32</f>
        <v>-438750000</v>
      </c>
      <c r="D41" s="52">
        <f t="shared" ref="D41:Z41" si="11">C41+D32</f>
        <v>-546875000</v>
      </c>
      <c r="E41" s="52">
        <f t="shared" si="11"/>
        <v>-624987500</v>
      </c>
      <c r="F41" s="52">
        <f t="shared" si="11"/>
        <v>-673687750</v>
      </c>
      <c r="G41" s="52">
        <f t="shared" si="11"/>
        <v>-693563995</v>
      </c>
      <c r="H41" s="52">
        <f t="shared" si="11"/>
        <v>-685192715.10000002</v>
      </c>
      <c r="I41" s="52">
        <f t="shared" si="11"/>
        <v>-649138860.7980001</v>
      </c>
      <c r="J41" s="52">
        <f t="shared" si="11"/>
        <v>-585956083.58204007</v>
      </c>
      <c r="K41" s="52">
        <f t="shared" si="11"/>
        <v>-496186961.91039926</v>
      </c>
      <c r="L41" s="52">
        <f t="shared" si="11"/>
        <v>-380363222.67219132</v>
      </c>
      <c r="M41" s="52">
        <f t="shared" si="11"/>
        <v>-239005958.2187475</v>
      </c>
      <c r="N41" s="52">
        <f t="shared" si="11"/>
        <v>-72625839.054372609</v>
      </c>
      <c r="O41" s="52">
        <f t="shared" si="11"/>
        <v>118276677.72671479</v>
      </c>
      <c r="P41" s="52">
        <f t="shared" si="11"/>
        <v>333211144.17218047</v>
      </c>
      <c r="Q41" s="52">
        <f t="shared" si="11"/>
        <v>571696921.28873682</v>
      </c>
      <c r="R41" s="52">
        <f t="shared" si="11"/>
        <v>833262982.86296213</v>
      </c>
      <c r="S41" s="52">
        <f t="shared" si="11"/>
        <v>1117447723.2057028</v>
      </c>
      <c r="T41" s="52">
        <f t="shared" si="11"/>
        <v>1423798768.7415886</v>
      </c>
      <c r="U41" s="52">
        <f t="shared" si="11"/>
        <v>1751872793.3667569</v>
      </c>
      <c r="V41" s="52">
        <f t="shared" si="11"/>
        <v>2101235337.4994218</v>
      </c>
      <c r="W41" s="52">
        <f t="shared" si="11"/>
        <v>2471460630.7494335</v>
      </c>
      <c r="X41" s="52">
        <f t="shared" si="11"/>
        <v>2862131418.1344452</v>
      </c>
      <c r="Y41" s="52">
        <f t="shared" si="11"/>
        <v>3272838789.7717562</v>
      </c>
      <c r="Z41" s="52">
        <f t="shared" si="11"/>
        <v>3703182013.9763212</v>
      </c>
    </row>
    <row r="43" spans="2:26" x14ac:dyDescent="0.45">
      <c r="B43" s="3" t="s">
        <v>124</v>
      </c>
      <c r="C43" s="3"/>
      <c r="D43" s="3"/>
      <c r="E43" s="3"/>
      <c r="F43" s="3"/>
      <c r="G43" s="3"/>
      <c r="H43" s="3"/>
      <c r="I43" s="3"/>
      <c r="J43" s="3"/>
    </row>
    <row r="44" spans="2:26" ht="15" x14ac:dyDescent="0.45">
      <c r="B44" s="11" t="s">
        <v>125</v>
      </c>
      <c r="C44" s="1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  <c r="D44" s="1"/>
      <c r="E44" s="1"/>
      <c r="F44" s="1"/>
      <c r="G44" s="1"/>
      <c r="H44" s="1"/>
      <c r="I44" s="1"/>
      <c r="J44" s="1"/>
    </row>
  </sheetData>
  <mergeCells count="6">
    <mergeCell ref="C44:J44"/>
    <mergeCell ref="B2:H2"/>
    <mergeCell ref="D4:H4"/>
    <mergeCell ref="B20:AA20"/>
    <mergeCell ref="B36:J36"/>
    <mergeCell ref="B43:J43"/>
  </mergeCells>
  <conditionalFormatting sqref="C37">
    <cfRule type="cellIs" dxfId="5" priority="26" operator="greaterThan">
      <formula>0</formula>
    </cfRule>
    <cfRule type="cellIs" dxfId="4" priority="27" operator="lessThanOrEqual">
      <formula>0</formula>
    </cfRule>
  </conditionalFormatting>
  <conditionalFormatting sqref="C40">
    <cfRule type="expression" dxfId="1" priority="30">
      <formula>AND(ISNUMBER(C40),C40&lt;12)</formula>
    </cfRule>
  </conditionalFormatting>
  <conditionalFormatting sqref="C33:Z33">
    <cfRule type="cellIs" dxfId="0" priority="2" operator="lessThan">
      <formula>0</formula>
    </cfRule>
  </conditionalFormatting>
  <dataValidations count="1">
    <dataValidation type="list" sqref="C4" xr:uid="{00000000-0002-0000-0200-000000000000}">
      <formula1>"Optimistic,Base,Pessimistic"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0000000-000E-0000-0200-00001C000000}">
            <xm:f>C38&gt;CHOOSE($C$6,'1. Assumptions'!C35,'1. Assumptions'!D35,'1. Assumptions'!E35)</xm:f>
            <x14:dxf>
              <font>
                <b/>
                <sz val="11"/>
                <color rgb="FF16A34A"/>
                <name val="Arial"/>
                <charset val="1"/>
              </font>
              <fill>
                <patternFill>
                  <bgColor rgb="FFDCFCE7"/>
                </patternFill>
              </fill>
            </x14:dxf>
          </x14:cfRule>
          <x14:cfRule type="expression" priority="29" id="{00000000-000E-0000-0200-00001D000000}">
            <xm:f>C38&lt;=CHOOSE($C$6,'1. Assumptions'!C35,'1. Assumptions'!D35,'1. Assumptions'!E35)</xm:f>
            <x14:dxf>
              <font>
                <b/>
                <sz val="11"/>
                <color rgb="FFDC2626"/>
                <name val="Arial"/>
                <charset val="1"/>
              </font>
              <fill>
                <patternFill>
                  <bgColor rgb="FFFEE2E2"/>
                </patternFill>
              </fill>
            </x14:dxf>
          </x14:cfRule>
          <xm:sqref>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Văn Quang Trung</cp:lastModifiedBy>
  <cp:revision>0</cp:revision>
  <dcterms:created xsi:type="dcterms:W3CDTF">2026-05-03T14:07:25Z</dcterms:created>
  <dcterms:modified xsi:type="dcterms:W3CDTF">2026-05-04T05:51:05Z</dcterms:modified>
  <dc:language>en-US</dc:language>
</cp:coreProperties>
</file>